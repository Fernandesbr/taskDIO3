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dd0f140f42a445f/Documents/Estudos/DIO/Excel com IA/"/>
    </mc:Choice>
  </mc:AlternateContent>
  <xr:revisionPtr revIDLastSave="0" documentId="8_{9FAEE6A0-4926-400D-9882-C5DF695CAB92}" xr6:coauthVersionLast="47" xr6:coauthVersionMax="47" xr10:uidLastSave="{00000000-0000-0000-0000-000000000000}"/>
  <bookViews>
    <workbookView xWindow="-120" yWindow="-120" windowWidth="29040" windowHeight="15840" xr2:uid="{28DD5B76-0634-4F87-BE60-8BFA7EF2E23B}"/>
  </bookViews>
  <sheets>
    <sheet name="A̳ssets" sheetId="1" r:id="rId1"/>
    <sheet name="B̳ases" sheetId="2" r:id="rId2"/>
    <sheet name="C̳álculos" sheetId="5" r:id="rId3"/>
    <sheet name="D̳ashboard" sheetId="6" r:id="rId4"/>
  </sheets>
  <externalReferences>
    <externalReference r:id="rId5"/>
  </externalReferences>
  <definedNames>
    <definedName name="SegmentaçãodeDados_Subscription_Type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5" l="1"/>
  <c r="E25" i="5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<sst xmlns="http://schemas.openxmlformats.org/spreadsheetml/2006/main" count="2022" uniqueCount="324">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</sst>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8" borderId="0" xfId="3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2" applyFont="1"/>
    <xf numFmtId="0" fontId="0" fillId="0" borderId="0" xfId="0" pivotButton="1"/>
    <xf numFmtId="0" fontId="0" fillId="0" borderId="0" xfId="0" applyNumberFormat="1"/>
    <xf numFmtId="0" fontId="5" fillId="0" borderId="2" xfId="1" applyFont="1" applyBorder="1" applyAlignment="1">
      <alignment horizontal="left" indent="7"/>
    </xf>
    <xf numFmtId="0" fontId="6" fillId="0" borderId="2" xfId="1" applyFont="1" applyBorder="1"/>
    <xf numFmtId="0" fontId="0" fillId="0" borderId="2" xfId="0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70CC851-AFF4-4372-8A50-4F1ACBC46B93}">
      <tableStyleElement type="wholeTable" dxfId="49"/>
      <tableStyleElement type="headerRow" dxfId="48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- finalxlsx.xlsx]C̳álculos!Tabela dinâmica3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C-46B9-BB4E-F5BAC3676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317279"/>
        <c:axId val="973318943"/>
      </c:barChart>
      <c:catAx>
        <c:axId val="97331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18943"/>
        <c:crosses val="autoZero"/>
        <c:auto val="1"/>
        <c:lblAlgn val="ctr"/>
        <c:lblOffset val="100"/>
        <c:noMultiLvlLbl val="0"/>
      </c:catAx>
      <c:valAx>
        <c:axId val="97331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1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- finalxlsx.xlsx]C̳álculos!Tabela dinâmica3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56-42B9-8212-B5DCC310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317279"/>
        <c:axId val="973318943"/>
      </c:barChart>
      <c:catAx>
        <c:axId val="97331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18943"/>
        <c:crosses val="autoZero"/>
        <c:auto val="1"/>
        <c:lblAlgn val="ctr"/>
        <c:lblOffset val="100"/>
        <c:noMultiLvlLbl val="0"/>
      </c:catAx>
      <c:valAx>
        <c:axId val="97331894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973317279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05E0A5F-7B47-4C91-A459-FE173767AFAC}"/>
            </a:ext>
          </a:extLst>
        </xdr:cNvPr>
        <xdr:cNvSpPr>
          <a:spLocks noChangeAspect="1" noChangeArrowheads="1"/>
        </xdr:cNvSpPr>
      </xdr:nvSpPr>
      <xdr:spPr bwMode="auto">
        <a:xfrm>
          <a:off x="18392775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7132DEEB-C441-45AF-B835-5B0E9E47FB4F}"/>
            </a:ext>
          </a:extLst>
        </xdr:cNvPr>
        <xdr:cNvSpPr>
          <a:spLocks noChangeAspect="1" noChangeArrowheads="1"/>
        </xdr:cNvSpPr>
      </xdr:nvSpPr>
      <xdr:spPr bwMode="auto">
        <a:xfrm>
          <a:off x="19878675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223837</xdr:colOff>
      <xdr:row>8</xdr:row>
      <xdr:rowOff>9525</xdr:rowOff>
    </xdr:from>
    <xdr:to>
      <xdr:col>9</xdr:col>
      <xdr:colOff>1319212</xdr:colOff>
      <xdr:row>23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28C1B4-3C7A-41D8-AC73-2C28D5D00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C2A3D6-7BC7-4F06-B83D-14E379B2C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166816" y="27214"/>
          <a:ext cx="713255" cy="784382"/>
        </a:xfrm>
        <a:prstGeom prst="rect">
          <a:avLst/>
        </a:prstGeom>
      </xdr:spPr>
    </xdr:pic>
    <xdr:clientData/>
  </xdr:twoCellAnchor>
  <xdr:twoCellAnchor editAs="absolute">
    <xdr:from>
      <xdr:col>2</xdr:col>
      <xdr:colOff>23812</xdr:colOff>
      <xdr:row>6</xdr:row>
      <xdr:rowOff>119637</xdr:rowOff>
    </xdr:from>
    <xdr:to>
      <xdr:col>9</xdr:col>
      <xdr:colOff>428625</xdr:colOff>
      <xdr:row>15</xdr:row>
      <xdr:rowOff>52319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BF2A0C1-8680-4CE7-99F2-912CF3BEAF4D}"/>
            </a:ext>
          </a:extLst>
        </xdr:cNvPr>
        <xdr:cNvSpPr/>
      </xdr:nvSpPr>
      <xdr:spPr>
        <a:xfrm>
          <a:off x="2386012" y="1234062"/>
          <a:ext cx="5205413" cy="1466207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3</xdr:col>
      <xdr:colOff>586780</xdr:colOff>
      <xdr:row>9</xdr:row>
      <xdr:rowOff>163777</xdr:rowOff>
    </xdr:from>
    <xdr:to>
      <xdr:col>8</xdr:col>
      <xdr:colOff>541964</xdr:colOff>
      <xdr:row>14</xdr:row>
      <xdr:rowOff>173261</xdr:rowOff>
    </xdr:to>
    <xdr:sp macro="" textlink="C̳álculos!E25">
      <xdr:nvSpPr>
        <xdr:cNvPr id="6" name="Retângulo: Cantos Arredondados 5">
          <a:extLst>
            <a:ext uri="{FF2B5EF4-FFF2-40B4-BE49-F238E27FC236}">
              <a16:creationId xmlns:a16="http://schemas.microsoft.com/office/drawing/2014/main" id="{8B88DFFB-2EB5-411F-B190-E3FD4DC53BAF}"/>
            </a:ext>
          </a:extLst>
        </xdr:cNvPr>
        <xdr:cNvSpPr/>
      </xdr:nvSpPr>
      <xdr:spPr>
        <a:xfrm>
          <a:off x="3634780" y="1725877"/>
          <a:ext cx="3384184" cy="914359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713E3AF-F400-4813-A0F3-4FDD15B55303}" type="TxLink">
            <a:rPr lang="en-US" sz="3600" b="0" i="0" u="none" strike="noStrike" kern="1200">
              <a:solidFill>
                <a:srgbClr val="00B050"/>
              </a:solidFill>
              <a:latin typeface="Aptos Narrow"/>
            </a:rPr>
            <a:t> R$ 1.350,00 </a:t>
          </a:fld>
          <a:endParaRPr lang="pt-BR" sz="41300" kern="1200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2</xdr:col>
      <xdr:colOff>196883</xdr:colOff>
      <xdr:row>9</xdr:row>
      <xdr:rowOff>29856</xdr:rowOff>
    </xdr:from>
    <xdr:to>
      <xdr:col>4</xdr:col>
      <xdr:colOff>188542</xdr:colOff>
      <xdr:row>15</xdr:row>
      <xdr:rowOff>126207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286138B-0A0D-4BD6-8762-C2D737BD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83" y="1591956"/>
          <a:ext cx="1363259" cy="1182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9</xdr:row>
      <xdr:rowOff>52945</xdr:rowOff>
    </xdr:to>
    <xdr:sp macro="" textlink="">
      <xdr:nvSpPr>
        <xdr:cNvPr id="8" name="Retângulo: Cantos Superiores Arredondados 7">
          <a:extLst>
            <a:ext uri="{FF2B5EF4-FFF2-40B4-BE49-F238E27FC236}">
              <a16:creationId xmlns:a16="http://schemas.microsoft.com/office/drawing/2014/main" id="{E28DFA01-F8DB-461F-8531-8BD6774A29DE}"/>
            </a:ext>
          </a:extLst>
        </xdr:cNvPr>
        <xdr:cNvSpPr/>
      </xdr:nvSpPr>
      <xdr:spPr>
        <a:xfrm>
          <a:off x="2386012" y="1176338"/>
          <a:ext cx="5205413" cy="438707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11</xdr:col>
      <xdr:colOff>164306</xdr:colOff>
      <xdr:row>6</xdr:row>
      <xdr:rowOff>119550</xdr:rowOff>
    </xdr:from>
    <xdr:to>
      <xdr:col>19</xdr:col>
      <xdr:colOff>128587</xdr:colOff>
      <xdr:row>15</xdr:row>
      <xdr:rowOff>50007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0E822B12-3ABD-4EC8-98C6-C4F535A95F59}"/>
            </a:ext>
          </a:extLst>
        </xdr:cNvPr>
        <xdr:cNvSpPr/>
      </xdr:nvSpPr>
      <xdr:spPr>
        <a:xfrm>
          <a:off x="8698706" y="1233975"/>
          <a:ext cx="5269706" cy="1463982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13</xdr:col>
      <xdr:colOff>237873</xdr:colOff>
      <xdr:row>9</xdr:row>
      <xdr:rowOff>162944</xdr:rowOff>
    </xdr:from>
    <xdr:to>
      <xdr:col>18</xdr:col>
      <xdr:colOff>234856</xdr:colOff>
      <xdr:row>14</xdr:row>
      <xdr:rowOff>171040</xdr:rowOff>
    </xdr:to>
    <xdr:sp macro="" textlink="C̳álculos!E36">
      <xdr:nvSpPr>
        <xdr:cNvPr id="15" name="Retângulo: Cantos Arredondados 14">
          <a:extLst>
            <a:ext uri="{FF2B5EF4-FFF2-40B4-BE49-F238E27FC236}">
              <a16:creationId xmlns:a16="http://schemas.microsoft.com/office/drawing/2014/main" id="{AA5C2069-D51A-44A2-B2F4-D9A16FCDF449}"/>
            </a:ext>
          </a:extLst>
        </xdr:cNvPr>
        <xdr:cNvSpPr/>
      </xdr:nvSpPr>
      <xdr:spPr>
        <a:xfrm>
          <a:off x="9962898" y="1725044"/>
          <a:ext cx="3425983" cy="91297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C47CB1E-550A-464D-A6FB-FC220DBD616B}" type="TxLink">
            <a:rPr lang="en-US" sz="3600" b="0" i="0" u="none" strike="noStrike" kern="1200">
              <a:solidFill>
                <a:srgbClr val="00B050"/>
              </a:solidFill>
              <a:latin typeface="Aptos Narrow"/>
            </a:rPr>
            <a:t> R$ 1.800,00 </a:t>
          </a:fld>
          <a:endParaRPr lang="pt-BR" sz="8800" kern="12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9</xdr:row>
      <xdr:rowOff>52279</xdr:rowOff>
    </xdr:to>
    <xdr:sp macro="" textlink="">
      <xdr:nvSpPr>
        <xdr:cNvPr id="16" name="Retângulo: Cantos Superiores Arredondados 15">
          <a:extLst>
            <a:ext uri="{FF2B5EF4-FFF2-40B4-BE49-F238E27FC236}">
              <a16:creationId xmlns:a16="http://schemas.microsoft.com/office/drawing/2014/main" id="{A82208AB-6578-47C0-B555-BF45005998C9}"/>
            </a:ext>
          </a:extLst>
        </xdr:cNvPr>
        <xdr:cNvSpPr/>
      </xdr:nvSpPr>
      <xdr:spPr>
        <a:xfrm>
          <a:off x="8698706" y="1176338"/>
          <a:ext cx="5269706" cy="43804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MINECRAFT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SEASON PASS</a:t>
          </a:r>
        </a:p>
      </xdr:txBody>
    </xdr:sp>
    <xdr:clientData/>
  </xdr:twoCellAnchor>
  <xdr:twoCellAnchor>
    <xdr:from>
      <xdr:col>11</xdr:col>
      <xdr:colOff>355688</xdr:colOff>
      <xdr:row>10</xdr:row>
      <xdr:rowOff>115687</xdr:rowOff>
    </xdr:from>
    <xdr:to>
      <xdr:col>13</xdr:col>
      <xdr:colOff>391514</xdr:colOff>
      <xdr:row>13</xdr:row>
      <xdr:rowOff>137605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0ECFF87-8DFD-4B32-9847-31693FC9C4AD}"/>
            </a:ext>
          </a:extLst>
        </xdr:cNvPr>
        <xdr:cNvGrpSpPr/>
      </xdr:nvGrpSpPr>
      <xdr:grpSpPr>
        <a:xfrm>
          <a:off x="8890088" y="1858762"/>
          <a:ext cx="1226451" cy="564843"/>
          <a:chOff x="3495675" y="5400674"/>
          <a:chExt cx="1549476" cy="752476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25A4C1F-1DE7-4F1C-B26E-520F6AC84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3" name="Gráfico 12">
            <a:extLst>
              <a:ext uri="{FF2B5EF4-FFF2-40B4-BE49-F238E27FC236}">
                <a16:creationId xmlns:a16="http://schemas.microsoft.com/office/drawing/2014/main" id="{82326E2B-BC38-4319-9508-03F2DED152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F989CED-EA1C-430A-88EC-C42EA2E5DD16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8D10D35-9A77-4AD5-8584-26279BE9622D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9D1631A9-756C-4C15-8AB6-314DBF6711AC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4D78FFEE-EF20-447F-ACD7-C8835A961DA5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F595487D-3796-4AD6-8394-E9D6D39ABDBF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39D63EC8-7FF1-4D0B-AFB2-2B81F804BAA2}"/>
            </a:ext>
          </a:extLst>
        </xdr:cNvPr>
        <xdr:cNvSpPr/>
      </xdr:nvSpPr>
      <xdr:spPr>
        <a:xfrm>
          <a:off x="393807" y="180975"/>
          <a:ext cx="721179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7EA59072-FC02-41B9-80A3-72040ECF7F56}"/>
            </a:ext>
          </a:extLst>
        </xdr:cNvPr>
        <xdr:cNvSpPr/>
      </xdr:nvSpPr>
      <xdr:spPr>
        <a:xfrm>
          <a:off x="109656" y="997084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6B0120D6-EDB8-4560-9E02-12B716EDB9A8}"/>
            </a:ext>
          </a:extLst>
        </xdr:cNvPr>
        <xdr:cNvSpPr/>
      </xdr:nvSpPr>
      <xdr:spPr>
        <a:xfrm>
          <a:off x="2309931" y="761680"/>
          <a:ext cx="51671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1828800</xdr:colOff>
      <xdr:row>21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Subscription Type 1">
              <a:extLst>
                <a:ext uri="{FF2B5EF4-FFF2-40B4-BE49-F238E27FC236}">
                  <a16:creationId xmlns:a16="http://schemas.microsoft.com/office/drawing/2014/main" id="{D7EFAC60-D8EC-4870-96EF-3279AA7A8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811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yner" refreshedDate="46066.036554745369" createdVersion="7" refreshedVersion="7" minRefreshableVersion="3" recordCount="295" xr:uid="{E4A9C9A6-0E59-4D7F-B3F3-D5FD1C79230E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7395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DC878-B5C4-434A-B266-1FF59F56E379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formats count="1">
    <format dxfId="6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0F1B4-ED17-410D-88AA-F56FD90CCE58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4" baseItem="0"/>
  </dataFields>
  <formats count="2">
    <format dxfId="63">
      <pivotArea outline="0" collapsedLevelsAreSubtotals="1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5EC8E-0B82-4344-B342-DB98C1CFCA47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057EA9A6-325D-4AFC-A120-D1B24FF9BD2F}" sourceName="Subscription Type">
  <pivotTables>
    <pivotTable tabId="5" name="Tabela dinâmica3"/>
    <pivotTable tabId="5" name="Tabela dinâmica6"/>
    <pivotTable tabId="5" name="Tabela dinâmica7"/>
  </pivotTables>
  <data>
    <tabular pivotCacheId="206739516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628FEDD-569F-4B33-A98B-D3BC02C643C7}" cache="SegmentaçãodeDados_Subscription_Type1" caption="Subscription Typ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78"/>
    <tableColumn id="2" xr3:uid="{53DD39D0-2220-4121-9E9D-4EAA7E151C0F}" name="Name" dataDxfId="77"/>
    <tableColumn id="3" xr3:uid="{4F5FF271-4C57-4BE0-8F2C-F82C8551625C}" name="Plan" dataDxfId="76"/>
    <tableColumn id="4" xr3:uid="{8C17EB93-79B9-4E55-B8F7-BEB82F8253E9}" name="Start Date" dataDxfId="75"/>
    <tableColumn id="5" xr3:uid="{48CEDF9B-1689-482A-A828-5CCE7713264A}" name="Auto Renewal" dataDxfId="74"/>
    <tableColumn id="6" xr3:uid="{78B82374-9AA7-4E38-AE4F-78CDE6C83720}" name="Subscription Price" dataDxfId="73" dataCellStyle="Moeda"/>
    <tableColumn id="7" xr3:uid="{F2433F68-AF33-49D0-B1FB-19A396074EDE}" name="Subscription Type" dataDxfId="72"/>
    <tableColumn id="8" xr3:uid="{FD4D9C95-F6E5-4933-9068-A71FF7DF9343}" name="EA Play Season Pass" dataDxfId="71"/>
    <tableColumn id="13" xr3:uid="{978DD0D2-834E-4CE4-A39B-30976086932F}" name="EA Play Season Pass_x000a_Price" dataDxfId="70" dataCellStyle="Moeda"/>
    <tableColumn id="9" xr3:uid="{6E29F111-C395-4580-9DAD-3407D9E8B1A4}" name="Minecraft Season Pass" dataDxfId="69"/>
    <tableColumn id="10" xr3:uid="{EF544EAA-7F25-4FD5-A10E-8E62804DB9E3}" name="Minecraft Season Pass Price" dataDxfId="68" dataCellStyle="Moeda"/>
    <tableColumn id="11" xr3:uid="{7F6EB64A-1F07-4E48-9F0F-AC7D9DCD26F8}" name="Coupon Value" dataDxfId="67" dataCellStyle="Moeda"/>
    <tableColumn id="12" xr3:uid="{2B04ABC8-DE6F-426E-ADC0-D8AFC68CA58E}" name="Total Value" dataDxfId="6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F3F7-F54F-43FB-9DDD-28061BE56D85}">
  <dimension ref="B3:F37"/>
  <sheetViews>
    <sheetView showGridLines="0" topLeftCell="A4" workbookViewId="0">
      <selection activeCell="B33" sqref="B33"/>
    </sheetView>
  </sheetViews>
  <sheetFormatPr defaultRowHeight="14.25"/>
  <cols>
    <col min="2" max="2" width="18" bestFit="1" customWidth="1"/>
    <col min="3" max="3" width="35.125" bestFit="1" customWidth="1"/>
    <col min="4" max="4" width="29.875" bestFit="1" customWidth="1"/>
    <col min="5" max="5" width="12.125" bestFit="1" customWidth="1"/>
    <col min="6" max="6" width="18" bestFit="1" customWidth="1"/>
    <col min="7" max="7" width="19.125" bestFit="1" customWidth="1"/>
    <col min="8" max="8" width="18" bestFit="1" customWidth="1"/>
    <col min="9" max="9" width="27.875" bestFit="1" customWidth="1"/>
    <col min="10" max="10" width="19.125" bestFit="1" customWidth="1"/>
    <col min="11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2" t="s">
        <v>313</v>
      </c>
      <c r="C3" s="12"/>
      <c r="D3" s="12"/>
      <c r="E3" s="12"/>
      <c r="F3" s="12"/>
    </row>
    <row r="6" spans="2:6" ht="15">
      <c r="B6" t="s">
        <v>314</v>
      </c>
    </row>
    <row r="7" spans="2:6" ht="15">
      <c r="B7" t="s">
        <v>315</v>
      </c>
    </row>
    <row r="9" spans="2:6">
      <c r="B9" s="16" t="s">
        <v>16</v>
      </c>
      <c r="C9" t="s">
        <v>20</v>
      </c>
    </row>
    <row r="11" spans="2:6">
      <c r="B11" s="16" t="s">
        <v>316</v>
      </c>
      <c r="C11" t="s">
        <v>317</v>
      </c>
    </row>
    <row r="12" spans="2:6">
      <c r="B12" s="13" t="s">
        <v>23</v>
      </c>
      <c r="C12" s="14">
        <v>2824</v>
      </c>
    </row>
    <row r="13" spans="2:6">
      <c r="B13" s="13" t="s">
        <v>19</v>
      </c>
      <c r="C13" s="14">
        <v>747</v>
      </c>
    </row>
    <row r="14" spans="2:6">
      <c r="B14" s="13" t="s">
        <v>318</v>
      </c>
      <c r="C14" s="14">
        <v>3571</v>
      </c>
    </row>
    <row r="17" spans="2:5">
      <c r="B17" s="13" t="s">
        <v>319</v>
      </c>
    </row>
    <row r="20" spans="2:5">
      <c r="B20" s="16" t="s">
        <v>16</v>
      </c>
      <c r="C20" t="s">
        <v>20</v>
      </c>
    </row>
    <row r="22" spans="2:5">
      <c r="B22" s="16" t="s">
        <v>316</v>
      </c>
      <c r="C22" s="17" t="s">
        <v>320</v>
      </c>
    </row>
    <row r="23" spans="2:5">
      <c r="B23" s="13" t="s">
        <v>22</v>
      </c>
      <c r="C23" s="17">
        <v>0</v>
      </c>
    </row>
    <row r="24" spans="2:5">
      <c r="B24" s="13" t="s">
        <v>26</v>
      </c>
      <c r="C24" s="17">
        <v>0</v>
      </c>
    </row>
    <row r="25" spans="2:5">
      <c r="B25" s="13" t="s">
        <v>18</v>
      </c>
      <c r="C25" s="17">
        <v>1350</v>
      </c>
      <c r="E25" s="15">
        <f>GETPIVOTDATA("EA Play Season Pass
Price",$B$22)</f>
        <v>1350</v>
      </c>
    </row>
    <row r="26" spans="2:5">
      <c r="B26" s="13" t="s">
        <v>318</v>
      </c>
      <c r="C26" s="17">
        <v>1350</v>
      </c>
    </row>
    <row r="28" spans="2:5">
      <c r="B28" s="13" t="s">
        <v>321</v>
      </c>
    </row>
    <row r="31" spans="2:5">
      <c r="B31" s="16" t="s">
        <v>16</v>
      </c>
      <c r="C31" t="s">
        <v>20</v>
      </c>
    </row>
    <row r="33" spans="2:5">
      <c r="B33" s="16" t="s">
        <v>316</v>
      </c>
      <c r="C33" t="s">
        <v>322</v>
      </c>
    </row>
    <row r="34" spans="2:5">
      <c r="B34" s="13" t="s">
        <v>22</v>
      </c>
      <c r="C34" s="17">
        <v>0</v>
      </c>
    </row>
    <row r="35" spans="2:5">
      <c r="B35" s="13" t="s">
        <v>26</v>
      </c>
      <c r="C35" s="17">
        <v>900</v>
      </c>
    </row>
    <row r="36" spans="2:5">
      <c r="B36" s="13" t="s">
        <v>18</v>
      </c>
      <c r="C36" s="17">
        <v>900</v>
      </c>
      <c r="E36" s="15">
        <f>GETPIVOTDATA("Minecraft Season Pass Price",$B$32)</f>
        <v>1800</v>
      </c>
    </row>
    <row r="37" spans="2:5">
      <c r="B37" s="13" t="s">
        <v>318</v>
      </c>
      <c r="C37" s="17"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E0FE-52F0-4BE9-B80B-3483A636686C}">
  <dimension ref="A2:S136"/>
  <sheetViews>
    <sheetView showGridLines="0" showRowColHeaders="0" zoomScaleNormal="100" workbookViewId="0">
      <selection activeCell="B15" sqref="B15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8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Breyner Fernandes</cp:lastModifiedBy>
  <dcterms:created xsi:type="dcterms:W3CDTF">2024-12-19T13:13:10Z</dcterms:created>
  <dcterms:modified xsi:type="dcterms:W3CDTF">2026-02-13T04:10:41Z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